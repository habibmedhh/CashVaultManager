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D5E74C2-C0AE-4745-A895-A678F2563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v-caisse cc 1" sheetId="5" r:id="rId1"/>
  </sheets>
  <calcPr calcId="191029"/>
</workbook>
</file>

<file path=xl/calcChain.xml><?xml version="1.0" encoding="utf-8"?>
<calcChain xmlns="http://schemas.openxmlformats.org/spreadsheetml/2006/main">
  <c r="B38" i="5" l="1"/>
  <c r="C38" i="5"/>
  <c r="C44" i="5" l="1"/>
  <c r="B45" i="5"/>
  <c r="G16" i="5"/>
  <c r="F16" i="5"/>
  <c r="A16" i="5"/>
  <c r="C15" i="5"/>
  <c r="A15" i="5"/>
  <c r="C14" i="5"/>
  <c r="A14" i="5"/>
  <c r="C13" i="5"/>
  <c r="A13" i="5"/>
  <c r="C12" i="5"/>
  <c r="A12" i="5"/>
  <c r="C11" i="5"/>
  <c r="A11" i="5"/>
  <c r="C10" i="5"/>
  <c r="A10" i="5"/>
  <c r="C9" i="5"/>
  <c r="A9" i="5"/>
  <c r="C8" i="5"/>
  <c r="A8" i="5"/>
  <c r="C7" i="5"/>
  <c r="A7" i="5"/>
  <c r="C6" i="5"/>
  <c r="A6" i="5"/>
  <c r="C5" i="5"/>
  <c r="A5" i="5"/>
  <c r="C4" i="5"/>
  <c r="A4" i="5"/>
  <c r="B6" i="5" l="1"/>
  <c r="B12" i="5"/>
  <c r="B7" i="5"/>
  <c r="B11" i="5"/>
  <c r="B4" i="5"/>
  <c r="B8" i="5"/>
  <c r="B10" i="5"/>
  <c r="B5" i="5"/>
  <c r="B9" i="5"/>
  <c r="B13" i="5"/>
  <c r="C16" i="5"/>
  <c r="C45" i="5" s="1"/>
</calcChain>
</file>

<file path=xl/sharedStrings.xml><?xml version="1.0" encoding="utf-8"?>
<sst xmlns="http://schemas.openxmlformats.org/spreadsheetml/2006/main" count="44" uniqueCount="42">
  <si>
    <t>WESTERN UNION</t>
  </si>
  <si>
    <t>MONEY GRAM</t>
  </si>
  <si>
    <t>NOMBRE</t>
  </si>
  <si>
    <t>MONTANT</t>
  </si>
  <si>
    <t>TOTAL</t>
  </si>
  <si>
    <t>Solde départ</t>
  </si>
  <si>
    <t>Opérations</t>
  </si>
  <si>
    <t>Solde final</t>
  </si>
  <si>
    <t>Ecart de la caisse</t>
  </si>
  <si>
    <t>Total</t>
  </si>
  <si>
    <t>Versement banque</t>
  </si>
  <si>
    <t>Retrait banque</t>
  </si>
  <si>
    <t>Billets</t>
  </si>
  <si>
    <t>caisse</t>
  </si>
  <si>
    <t>NBB</t>
  </si>
  <si>
    <t>Responsable-Agence</t>
  </si>
  <si>
    <t>Charge-de-client-1</t>
  </si>
  <si>
    <t>Charge-de-client-2</t>
  </si>
  <si>
    <t>PV D'ARRETER DE CAISSE  :</t>
  </si>
  <si>
    <t>coffre</t>
  </si>
  <si>
    <t>caisse-et-coffre-Agence</t>
  </si>
  <si>
    <t>EMISSION CASHPLUS</t>
  </si>
  <si>
    <t>RECEPTION CASHPLUS</t>
  </si>
  <si>
    <t>RECHARGE IAM/Orange/INWI</t>
  </si>
  <si>
    <t>ASSURANCE AXA SAHAM</t>
  </si>
  <si>
    <t>HMIZAT MALL, PAY EXPRESSE..</t>
  </si>
  <si>
    <t>Factures IAM ORANGE INWI</t>
  </si>
  <si>
    <t>___</t>
  </si>
  <si>
    <t>TAXES / IMPOTS</t>
  </si>
  <si>
    <t>EL-AZZAOUY MOHAMED LAHBIB</t>
  </si>
  <si>
    <t>Versement STE</t>
  </si>
  <si>
    <t>Retrait confrére STE</t>
  </si>
  <si>
    <t>remitly+thuns+monty</t>
  </si>
  <si>
    <t>taptapsend+ smallword+fast</t>
  </si>
  <si>
    <t xml:space="preserve">Ria + xoom+byt dance </t>
  </si>
  <si>
    <t xml:space="preserve">money t +l-trens zero+word remit </t>
  </si>
  <si>
    <t>CNSS</t>
  </si>
  <si>
    <t>ENVOI MG + WU</t>
  </si>
  <si>
    <t xml:space="preserve">PAIMENT MARCHAND </t>
  </si>
  <si>
    <t xml:space="preserve">RECHARGE DETAILLANT </t>
  </si>
  <si>
    <t>RETRAIT COMPTE</t>
  </si>
  <si>
    <t>RECHARGE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</si>
</sst>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"/>
    <numFmt numFmtId="165" formatCode="#\ ##0"/>
    <numFmt numFmtId="166" formatCode="dd/mm/yyyy;@"/>
    <numFmt numFmtId="167" formatCode="[$-F400]h:mm:ss\ AM/PM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4B"/>
        <bgColor indexed="64"/>
      </patternFill>
    </fill>
    <fill>
      <patternFill patternType="solid">
        <fgColor rgb="FF00CC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/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/>
      <top/>
      <bottom style="dotted">
        <color theme="1" tint="0.499984740745262"/>
      </bottom>
      <diagonal/>
    </border>
    <border>
      <left/>
      <right/>
      <top/>
      <bottom style="dotted">
        <color theme="1" tint="0.499984740745262"/>
      </bottom>
      <diagonal/>
    </border>
    <border>
      <left style="dotted">
        <color theme="1" tint="0.499984740745262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/>
      <right style="dotted">
        <color theme="1" tint="0.499984740745262"/>
      </right>
      <top style="dotted">
        <color theme="1" tint="0.499984740745262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/>
    </xf>
    <xf numFmtId="0" fontId="1" fillId="6" borderId="4" xfId="0" applyFont="1" applyFill="1" applyBorder="1" applyAlignment="1">
      <alignment horizontal="center"/>
    </xf>
    <xf numFmtId="0" fontId="3" fillId="5" borderId="0" xfId="0" applyFont="1" applyFill="1"/>
    <xf numFmtId="0" fontId="0" fillId="5" borderId="0" xfId="0" applyFill="1"/>
    <xf numFmtId="164" fontId="0" fillId="5" borderId="0" xfId="0" applyNumberFormat="1" applyFill="1"/>
    <xf numFmtId="164" fontId="3" fillId="5" borderId="0" xfId="0" applyNumberFormat="1" applyFont="1" applyFill="1"/>
    <xf numFmtId="0" fontId="6" fillId="5" borderId="0" xfId="0" applyFont="1" applyFill="1"/>
    <xf numFmtId="0" fontId="6" fillId="0" borderId="0" xfId="0" applyFont="1"/>
    <xf numFmtId="0" fontId="5" fillId="0" borderId="0" xfId="0" applyFont="1"/>
    <xf numFmtId="164" fontId="6" fillId="4" borderId="10" xfId="0" applyNumberFormat="1" applyFont="1" applyFill="1" applyBorder="1" applyAlignment="1">
      <alignment horizontal="center"/>
    </xf>
    <xf numFmtId="164" fontId="5" fillId="5" borderId="10" xfId="0" applyNumberFormat="1" applyFont="1" applyFill="1" applyBorder="1" applyAlignment="1">
      <alignment horizontal="center"/>
    </xf>
    <xf numFmtId="164" fontId="7" fillId="4" borderId="10" xfId="0" applyNumberFormat="1" applyFont="1" applyFill="1" applyBorder="1" applyAlignment="1">
      <alignment horizontal="center"/>
    </xf>
    <xf numFmtId="164" fontId="8" fillId="4" borderId="10" xfId="0" applyNumberFormat="1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164" fontId="5" fillId="7" borderId="10" xfId="0" applyNumberFormat="1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64" fontId="7" fillId="2" borderId="10" xfId="0" applyNumberFormat="1" applyFont="1" applyFill="1" applyBorder="1" applyAlignment="1">
      <alignment horizontal="center"/>
    </xf>
    <xf numFmtId="164" fontId="5" fillId="2" borderId="10" xfId="0" applyNumberFormat="1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164" fontId="7" fillId="7" borderId="10" xfId="0" applyNumberFormat="1" applyFont="1" applyFill="1" applyBorder="1" applyAlignment="1">
      <alignment horizontal="center" vertical="center"/>
    </xf>
    <xf numFmtId="2" fontId="3" fillId="5" borderId="0" xfId="0" applyNumberFormat="1" applyFont="1" applyFill="1"/>
    <xf numFmtId="2" fontId="3" fillId="0" borderId="0" xfId="0" applyNumberFormat="1" applyFont="1"/>
    <xf numFmtId="2" fontId="0" fillId="0" borderId="0" xfId="0" applyNumberFormat="1"/>
    <xf numFmtId="2" fontId="2" fillId="5" borderId="0" xfId="0" applyNumberFormat="1" applyFont="1" applyFill="1" applyAlignment="1">
      <alignment vertical="center"/>
    </xf>
    <xf numFmtId="2" fontId="1" fillId="0" borderId="0" xfId="0" applyNumberFormat="1" applyFont="1" applyAlignment="1">
      <alignment vertical="center"/>
    </xf>
    <xf numFmtId="2" fontId="10" fillId="5" borderId="0" xfId="0" applyNumberFormat="1" applyFont="1" applyFill="1"/>
    <xf numFmtId="167" fontId="0" fillId="0" borderId="0" xfId="0" applyNumberFormat="1"/>
    <xf numFmtId="0" fontId="12" fillId="0" borderId="0" xfId="0" applyFont="1"/>
    <xf numFmtId="164" fontId="0" fillId="8" borderId="1" xfId="0" applyNumberFormat="1" applyFill="1" applyBorder="1" applyAlignment="1">
      <alignment horizontal="center"/>
    </xf>
    <xf numFmtId="164" fontId="8" fillId="8" borderId="2" xfId="0" applyNumberFormat="1" applyFont="1" applyFill="1" applyBorder="1" applyAlignment="1">
      <alignment horizontal="center"/>
    </xf>
    <xf numFmtId="164" fontId="0" fillId="8" borderId="2" xfId="0" applyNumberFormat="1" applyFill="1" applyBorder="1" applyAlignment="1">
      <alignment horizontal="center"/>
    </xf>
    <xf numFmtId="164" fontId="11" fillId="8" borderId="2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4" fillId="5" borderId="15" xfId="0" applyFont="1" applyFill="1" applyBorder="1" applyAlignment="1">
      <alignment horizontal="right" vertical="center"/>
    </xf>
    <xf numFmtId="0" fontId="4" fillId="5" borderId="16" xfId="0" applyFont="1" applyFill="1" applyBorder="1" applyAlignment="1">
      <alignment horizontal="right" vertical="center"/>
    </xf>
    <xf numFmtId="0" fontId="4" fillId="5" borderId="13" xfId="0" applyFont="1" applyFill="1" applyBorder="1" applyAlignment="1">
      <alignment horizontal="right" vertical="center"/>
    </xf>
    <xf numFmtId="0" fontId="4" fillId="5" borderId="14" xfId="0" applyFont="1" applyFill="1" applyBorder="1" applyAlignment="1">
      <alignment horizontal="right" vertical="center"/>
    </xf>
    <xf numFmtId="166" fontId="4" fillId="5" borderId="17" xfId="0" applyNumberFormat="1" applyFont="1" applyFill="1" applyBorder="1" applyAlignment="1">
      <alignment horizontal="left" vertical="center"/>
    </xf>
    <xf numFmtId="166" fontId="4" fillId="5" borderId="12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center"/>
    </xf>
    <xf numFmtId="2" fontId="3" fillId="5" borderId="0" xfId="0" applyNumberFormat="1" applyFont="1" applyFill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/>
    </xf>
    <xf numFmtId="164" fontId="6" fillId="0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9" defaultPivotStyle="PivotStyleLight16"/>
  <colors>
    <mruColors>
      <color rgb="FF00CC99"/>
      <color rgb="FF33CCCC"/>
      <color rgb="FFFFFF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showGridLines="0" tabSelected="1" zoomScale="90" zoomScaleNormal="90" workbookViewId="0">
      <selection activeCell="C16" sqref="C16"/>
    </sheetView>
  </sheetViews>
  <sheetFormatPr baseColWidth="10" defaultRowHeight="14.4" x14ac:dyDescent="0.3"/>
  <cols>
    <col min="1" max="1" width="29.88671875" customWidth="1"/>
    <col min="2" max="2" width="19.6640625" customWidth="1"/>
    <col min="3" max="3" width="32.44140625" customWidth="1"/>
    <col min="4" max="4" width="11.33203125" style="4" customWidth="1"/>
    <col min="5" max="5" width="13.5546875" customWidth="1"/>
    <col min="6" max="6" width="12.6640625" customWidth="1"/>
    <col min="7" max="7" width="13.109375" customWidth="1"/>
    <col min="8" max="8" width="3.33203125" customWidth="1"/>
    <col min="9" max="9" width="4" customWidth="1"/>
  </cols>
  <sheetData>
    <row r="1" spans="1:16" ht="17.25" customHeight="1" x14ac:dyDescent="0.3">
      <c r="A1" s="46" t="s">
        <v>18</v>
      </c>
      <c r="B1" s="47"/>
      <c r="C1" s="50">
        <v>45845</v>
      </c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</row>
    <row r="2" spans="1:16" ht="14.25" customHeight="1" thickBot="1" x14ac:dyDescent="0.35">
      <c r="A2" s="48"/>
      <c r="B2" s="49"/>
      <c r="C2" s="51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</row>
    <row r="3" spans="1:16" ht="14.25" customHeight="1" x14ac:dyDescent="0.3">
      <c r="A3" s="23" t="s">
        <v>12</v>
      </c>
      <c r="B3" s="23" t="s">
        <v>14</v>
      </c>
      <c r="C3" s="23" t="s">
        <v>20</v>
      </c>
      <c r="E3" s="40" t="s">
        <v>12</v>
      </c>
      <c r="F3" s="41" t="s">
        <v>13</v>
      </c>
      <c r="G3" s="42" t="s">
        <v>19</v>
      </c>
    </row>
    <row r="4" spans="1:16" x14ac:dyDescent="0.3">
      <c r="A4" s="20">
        <f t="shared" ref="A4:A15" si="0">E4</f>
        <v>200</v>
      </c>
      <c r="B4" s="18">
        <f t="shared" ref="B4:B13" si="1">C4/A4</f>
        <v>332</v>
      </c>
      <c r="C4" s="21">
        <f t="shared" ref="C4:C15" si="2">F4+G4</f>
        <v>66400</v>
      </c>
      <c r="E4" s="2">
        <v>200</v>
      </c>
      <c r="F4" s="36">
        <v>6400</v>
      </c>
      <c r="G4" s="37">
        <v>60000</v>
      </c>
    </row>
    <row r="5" spans="1:16" x14ac:dyDescent="0.3">
      <c r="A5" s="17">
        <f t="shared" si="0"/>
        <v>100</v>
      </c>
      <c r="B5" s="18">
        <f t="shared" si="1"/>
        <v>21</v>
      </c>
      <c r="C5" s="19">
        <f t="shared" si="2"/>
        <v>2100</v>
      </c>
      <c r="E5" s="2">
        <v>100</v>
      </c>
      <c r="F5" s="36">
        <v>2100</v>
      </c>
      <c r="G5" s="38"/>
    </row>
    <row r="6" spans="1:16" x14ac:dyDescent="0.3">
      <c r="A6" s="17">
        <f t="shared" si="0"/>
        <v>50</v>
      </c>
      <c r="B6" s="18">
        <f t="shared" si="1"/>
        <v>3</v>
      </c>
      <c r="C6" s="19">
        <f t="shared" si="2"/>
        <v>150</v>
      </c>
      <c r="E6" s="2">
        <v>50</v>
      </c>
      <c r="F6" s="36">
        <v>150</v>
      </c>
      <c r="G6" s="38"/>
    </row>
    <row r="7" spans="1:16" x14ac:dyDescent="0.3">
      <c r="A7" s="17">
        <f t="shared" si="0"/>
        <v>20</v>
      </c>
      <c r="B7" s="18">
        <f t="shared" si="1"/>
        <v>111.5</v>
      </c>
      <c r="C7" s="19">
        <f t="shared" si="2"/>
        <v>2230</v>
      </c>
      <c r="E7" s="2">
        <v>20</v>
      </c>
      <c r="F7" s="36">
        <v>280</v>
      </c>
      <c r="G7" s="38">
        <v>1950</v>
      </c>
    </row>
    <row r="8" spans="1:16" x14ac:dyDescent="0.3">
      <c r="A8" s="17">
        <f t="shared" si="0"/>
        <v>10</v>
      </c>
      <c r="B8" s="18">
        <f t="shared" si="1"/>
        <v>20</v>
      </c>
      <c r="C8" s="19">
        <f t="shared" si="2"/>
        <v>200</v>
      </c>
      <c r="D8" s="5"/>
      <c r="E8" s="2">
        <v>10</v>
      </c>
      <c r="F8" s="36">
        <v>200</v>
      </c>
      <c r="G8" s="38"/>
    </row>
    <row r="9" spans="1:16" x14ac:dyDescent="0.3">
      <c r="A9" s="17">
        <f t="shared" si="0"/>
        <v>5</v>
      </c>
      <c r="B9" s="18">
        <f t="shared" si="1"/>
        <v>34</v>
      </c>
      <c r="C9" s="19">
        <f t="shared" si="2"/>
        <v>170</v>
      </c>
      <c r="D9" s="5"/>
      <c r="E9" s="2">
        <v>5</v>
      </c>
      <c r="F9" s="36">
        <v>170</v>
      </c>
      <c r="G9" s="38"/>
    </row>
    <row r="10" spans="1:16" x14ac:dyDescent="0.3">
      <c r="A10" s="17">
        <f t="shared" si="0"/>
        <v>2</v>
      </c>
      <c r="B10" s="18">
        <f t="shared" si="1"/>
        <v>9</v>
      </c>
      <c r="C10" s="19">
        <f t="shared" si="2"/>
        <v>18</v>
      </c>
      <c r="D10" s="5"/>
      <c r="E10" s="2">
        <v>2</v>
      </c>
      <c r="F10" s="36">
        <v>18</v>
      </c>
      <c r="G10" s="38"/>
    </row>
    <row r="11" spans="1:16" x14ac:dyDescent="0.3">
      <c r="A11" s="17">
        <f t="shared" si="0"/>
        <v>1</v>
      </c>
      <c r="B11" s="18">
        <f t="shared" si="1"/>
        <v>37.5</v>
      </c>
      <c r="C11" s="19">
        <f t="shared" si="2"/>
        <v>37.5</v>
      </c>
      <c r="D11" s="5"/>
      <c r="E11" s="2">
        <v>1</v>
      </c>
      <c r="F11" s="36">
        <v>37.5</v>
      </c>
      <c r="G11" s="37"/>
    </row>
    <row r="12" spans="1:16" x14ac:dyDescent="0.3">
      <c r="A12" s="17">
        <f t="shared" si="0"/>
        <v>0.5</v>
      </c>
      <c r="B12" s="18">
        <f t="shared" si="1"/>
        <v>0</v>
      </c>
      <c r="C12" s="19">
        <f t="shared" si="2"/>
        <v>0</v>
      </c>
      <c r="D12" s="5"/>
      <c r="E12" s="2">
        <v>0.5</v>
      </c>
      <c r="F12" s="36"/>
      <c r="G12" s="38"/>
    </row>
    <row r="13" spans="1:16" x14ac:dyDescent="0.3">
      <c r="A13" s="17">
        <f t="shared" si="0"/>
        <v>0.2</v>
      </c>
      <c r="B13" s="18">
        <f t="shared" si="1"/>
        <v>8230</v>
      </c>
      <c r="C13" s="19">
        <f t="shared" si="2"/>
        <v>1646</v>
      </c>
      <c r="D13" s="5"/>
      <c r="E13" s="2">
        <v>0.2</v>
      </c>
      <c r="F13" s="36"/>
      <c r="G13" s="38">
        <v>1646</v>
      </c>
    </row>
    <row r="14" spans="1:16" x14ac:dyDescent="0.3">
      <c r="A14" s="17">
        <f t="shared" si="0"/>
        <v>0.1</v>
      </c>
      <c r="B14" s="18">
        <v>0</v>
      </c>
      <c r="C14" s="19">
        <f t="shared" si="2"/>
        <v>0</v>
      </c>
      <c r="D14" s="5"/>
      <c r="E14" s="2">
        <v>0.1</v>
      </c>
      <c r="F14" s="36"/>
      <c r="G14" s="38"/>
      <c r="I14" s="35"/>
    </row>
    <row r="15" spans="1:16" x14ac:dyDescent="0.3">
      <c r="A15" s="17">
        <f t="shared" si="0"/>
        <v>0.01</v>
      </c>
      <c r="B15" s="18">
        <v>0</v>
      </c>
      <c r="C15" s="19">
        <f t="shared" si="2"/>
        <v>0</v>
      </c>
      <c r="D15" s="5"/>
      <c r="E15" s="2">
        <v>0.01</v>
      </c>
      <c r="F15" s="36"/>
      <c r="G15" s="39"/>
    </row>
    <row r="16" spans="1:16" ht="16.2" thickBot="1" x14ac:dyDescent="0.35">
      <c r="A16" s="52" t="str">
        <f>E16</f>
        <v>Total</v>
      </c>
      <c r="B16" s="52"/>
      <c r="C16" s="12">
        <f>SUM(C4:C15)</f>
        <v>72951.5</v>
      </c>
      <c r="D16" s="5"/>
      <c r="E16" s="43" t="s">
        <v>9</v>
      </c>
      <c r="F16" s="44">
        <f>SUM(F4:F15)</f>
        <v>9355.5</v>
      </c>
      <c r="G16" s="45">
        <f>SUM(G4:G15)</f>
        <v>63596</v>
      </c>
    </row>
    <row r="17" spans="1:15" s="4" customFormat="1" ht="12.75" customHeight="1" x14ac:dyDescent="0.3">
      <c r="A17" s="7"/>
      <c r="B17" s="7"/>
      <c r="C17" s="7"/>
      <c r="D17" s="6"/>
      <c r="E17" s="3"/>
      <c r="F17" s="3"/>
      <c r="G17" s="3"/>
    </row>
    <row r="18" spans="1:15" ht="15.6" x14ac:dyDescent="0.3">
      <c r="A18" s="10" t="s">
        <v>6</v>
      </c>
      <c r="B18" s="10" t="s">
        <v>2</v>
      </c>
      <c r="C18" s="10" t="s">
        <v>3</v>
      </c>
      <c r="D18" s="28"/>
      <c r="E18" s="29"/>
      <c r="F18" s="29"/>
      <c r="G18" s="29"/>
      <c r="H18" s="30"/>
      <c r="I18" s="30"/>
      <c r="J18" s="30"/>
      <c r="K18" s="30"/>
      <c r="L18" s="30"/>
      <c r="M18" s="30"/>
      <c r="N18" s="30"/>
      <c r="O18" s="30"/>
    </row>
    <row r="19" spans="1:15" ht="15.6" x14ac:dyDescent="0.3">
      <c r="A19" s="11" t="s">
        <v>0</v>
      </c>
      <c r="B19" s="55">
        <v>1</v>
      </c>
      <c r="C19" s="56">
        <v>1026.46</v>
      </c>
      <c r="D19" s="28"/>
      <c r="E19" s="28"/>
      <c r="F19" s="28"/>
      <c r="G19" s="28"/>
      <c r="H19" s="30"/>
      <c r="I19" s="34"/>
      <c r="J19" s="30"/>
      <c r="K19" s="30"/>
      <c r="L19" s="30"/>
      <c r="M19" s="30"/>
      <c r="N19" s="30"/>
      <c r="O19" s="30"/>
    </row>
    <row r="20" spans="1:15" ht="15.6" x14ac:dyDescent="0.3">
      <c r="A20" s="11" t="s">
        <v>1</v>
      </c>
      <c r="B20" s="55">
        <v>1</v>
      </c>
      <c r="C20" s="56">
        <v>10478.709999999999</v>
      </c>
      <c r="D20" s="28"/>
      <c r="E20" s="28"/>
      <c r="F20" s="28"/>
      <c r="G20" s="28"/>
      <c r="H20" s="30"/>
      <c r="I20" s="30"/>
      <c r="J20" s="30"/>
      <c r="K20" s="30"/>
      <c r="L20" s="30"/>
      <c r="M20" s="30"/>
      <c r="N20" s="30"/>
      <c r="O20" s="30"/>
    </row>
    <row r="21" spans="1:15" ht="15.6" x14ac:dyDescent="0.3">
      <c r="A21" s="11" t="s">
        <v>32</v>
      </c>
      <c r="B21" s="55">
        <v>1</v>
      </c>
      <c r="C21" s="56">
        <v>500.04</v>
      </c>
      <c r="D21" s="28"/>
      <c r="E21" s="28"/>
      <c r="F21" s="28"/>
      <c r="G21" s="28"/>
      <c r="H21" s="30"/>
      <c r="I21" s="30"/>
      <c r="J21" s="30"/>
      <c r="K21" s="30"/>
      <c r="L21" s="30"/>
      <c r="M21" s="30"/>
      <c r="N21" s="30"/>
      <c r="O21" s="30"/>
    </row>
    <row r="22" spans="1:15" ht="15.6" x14ac:dyDescent="0.3">
      <c r="A22" s="11" t="s">
        <v>33</v>
      </c>
      <c r="B22" s="55"/>
      <c r="C22" s="56"/>
      <c r="D22" s="28"/>
      <c r="E22" s="28"/>
      <c r="F22" s="28"/>
      <c r="G22" s="28"/>
      <c r="H22" s="30"/>
      <c r="I22" s="30"/>
      <c r="J22" s="30"/>
      <c r="K22" s="30"/>
      <c r="L22" s="30"/>
      <c r="M22" s="30"/>
      <c r="N22" s="30"/>
      <c r="O22" s="30"/>
    </row>
    <row r="23" spans="1:15" ht="15.6" x14ac:dyDescent="0.3">
      <c r="A23" s="11" t="s">
        <v>34</v>
      </c>
      <c r="B23" s="55">
        <v>1</v>
      </c>
      <c r="C23" s="56">
        <v>7000</v>
      </c>
      <c r="D23" s="28"/>
      <c r="E23" s="28"/>
      <c r="F23" s="28"/>
      <c r="G23" s="28"/>
      <c r="H23" s="30"/>
      <c r="I23" s="30"/>
      <c r="J23" s="30"/>
      <c r="K23" s="30"/>
      <c r="L23" s="30"/>
      <c r="M23" s="30"/>
      <c r="N23" s="30"/>
      <c r="O23" s="30"/>
    </row>
    <row r="24" spans="1:15" ht="15.6" x14ac:dyDescent="0.3">
      <c r="A24" s="11" t="s">
        <v>35</v>
      </c>
      <c r="B24" s="55"/>
      <c r="C24" s="56"/>
      <c r="D24" s="28"/>
      <c r="E24" s="28"/>
      <c r="F24" s="28"/>
      <c r="G24" s="28"/>
      <c r="H24" s="30"/>
      <c r="I24" s="30"/>
      <c r="J24" s="30"/>
      <c r="K24" s="30"/>
      <c r="L24" s="30"/>
      <c r="M24" s="30"/>
      <c r="N24" s="30"/>
      <c r="O24" s="30"/>
    </row>
    <row r="25" spans="1:15" ht="15.6" x14ac:dyDescent="0.3">
      <c r="A25" s="11" t="s">
        <v>21</v>
      </c>
      <c r="B25" s="55">
        <v>22</v>
      </c>
      <c r="C25" s="56">
        <v>33671.599999999999</v>
      </c>
      <c r="D25" s="28"/>
      <c r="E25" s="28"/>
      <c r="F25" s="28"/>
      <c r="G25" s="28"/>
      <c r="H25" s="30"/>
      <c r="I25" s="30"/>
      <c r="J25" s="30"/>
      <c r="K25" s="30"/>
      <c r="L25" s="30"/>
      <c r="M25" s="30"/>
      <c r="N25" s="30"/>
      <c r="O25" s="30"/>
    </row>
    <row r="26" spans="1:15" ht="15.6" x14ac:dyDescent="0.3">
      <c r="A26" s="11" t="s">
        <v>22</v>
      </c>
      <c r="B26" s="55">
        <v>9</v>
      </c>
      <c r="C26" s="56">
        <v>10274</v>
      </c>
      <c r="D26" s="28"/>
      <c r="E26" s="28"/>
      <c r="F26" s="28"/>
      <c r="G26" s="28"/>
      <c r="H26" s="30"/>
      <c r="I26" s="30"/>
      <c r="J26" s="30"/>
      <c r="K26" s="30"/>
      <c r="L26" s="30"/>
      <c r="M26" s="30"/>
      <c r="N26" s="30"/>
      <c r="O26" s="30"/>
    </row>
    <row r="27" spans="1:15" ht="15.6" x14ac:dyDescent="0.3">
      <c r="A27" s="11" t="s">
        <v>23</v>
      </c>
      <c r="B27" s="55"/>
      <c r="C27" s="56"/>
      <c r="D27" s="28"/>
      <c r="E27" s="28"/>
      <c r="F27" s="28"/>
      <c r="G27" s="28"/>
      <c r="H27" s="30"/>
      <c r="I27" s="30"/>
      <c r="J27" s="30"/>
      <c r="K27" s="30"/>
      <c r="L27" s="30"/>
      <c r="M27" s="30"/>
      <c r="N27" s="30"/>
      <c r="O27" s="30"/>
    </row>
    <row r="28" spans="1:15" ht="15.6" x14ac:dyDescent="0.3">
      <c r="A28" s="11" t="s">
        <v>36</v>
      </c>
      <c r="B28" s="55"/>
      <c r="C28" s="56"/>
      <c r="D28" s="28"/>
      <c r="E28" s="28"/>
      <c r="F28" s="28"/>
      <c r="G28" s="28"/>
      <c r="H28" s="30"/>
      <c r="I28" s="30"/>
      <c r="J28" s="30"/>
      <c r="K28" s="30"/>
      <c r="L28" s="30"/>
      <c r="M28" s="30"/>
      <c r="N28" s="30"/>
      <c r="O28" s="30"/>
    </row>
    <row r="29" spans="1:15" ht="15.6" x14ac:dyDescent="0.3">
      <c r="A29" s="11" t="s">
        <v>37</v>
      </c>
      <c r="B29" s="55"/>
      <c r="C29" s="56"/>
      <c r="D29" s="28"/>
      <c r="E29" s="28"/>
      <c r="F29" s="28"/>
      <c r="G29" s="28"/>
      <c r="H29" s="30"/>
      <c r="I29" s="30"/>
      <c r="J29" s="30"/>
      <c r="K29" s="30"/>
      <c r="L29" s="30"/>
      <c r="M29" s="30"/>
      <c r="N29" s="30"/>
      <c r="O29" s="30"/>
    </row>
    <row r="30" spans="1:15" ht="15.6" x14ac:dyDescent="0.3">
      <c r="A30" s="11" t="s">
        <v>38</v>
      </c>
      <c r="B30" s="55">
        <v>1</v>
      </c>
      <c r="C30" s="56">
        <v>700</v>
      </c>
      <c r="D30" s="28"/>
      <c r="E30" s="28"/>
      <c r="F30" s="28"/>
      <c r="G30" s="28"/>
      <c r="H30" s="30"/>
      <c r="I30" s="30"/>
      <c r="J30" s="30"/>
      <c r="K30" s="30"/>
      <c r="L30" s="30"/>
      <c r="M30" s="30"/>
      <c r="N30" s="30"/>
      <c r="O30" s="30"/>
    </row>
    <row r="31" spans="1:15" ht="15.6" x14ac:dyDescent="0.3">
      <c r="A31" s="11" t="s">
        <v>28</v>
      </c>
      <c r="B31" s="55"/>
      <c r="C31" s="56"/>
      <c r="D31" s="28"/>
      <c r="E31" s="28"/>
      <c r="F31" s="28"/>
      <c r="G31" s="28"/>
      <c r="H31" s="30"/>
      <c r="I31" s="30"/>
      <c r="J31" s="30"/>
      <c r="K31" s="30"/>
      <c r="L31" s="30"/>
      <c r="M31" s="30"/>
      <c r="N31" s="30"/>
      <c r="O31" s="30"/>
    </row>
    <row r="32" spans="1:15" ht="15.6" x14ac:dyDescent="0.3">
      <c r="A32" s="11" t="s">
        <v>24</v>
      </c>
      <c r="B32" s="55"/>
      <c r="C32" s="56"/>
      <c r="D32" s="28"/>
      <c r="E32" s="28"/>
      <c r="F32" s="28"/>
      <c r="G32" s="28"/>
      <c r="H32" s="30"/>
      <c r="I32" s="30"/>
      <c r="J32" s="30"/>
      <c r="K32" s="30"/>
      <c r="L32" s="30"/>
      <c r="M32" s="30"/>
      <c r="N32" s="30"/>
      <c r="O32" s="30"/>
    </row>
    <row r="33" spans="1:15" ht="19.5" customHeight="1" x14ac:dyDescent="0.3">
      <c r="A33" s="11" t="s">
        <v>25</v>
      </c>
      <c r="B33" s="55"/>
      <c r="C33" s="56"/>
      <c r="D33" s="28"/>
      <c r="E33" s="28"/>
      <c r="F33" s="28"/>
      <c r="G33" s="28"/>
      <c r="H33" s="30"/>
      <c r="I33" s="30"/>
      <c r="J33" s="30"/>
      <c r="K33" s="30"/>
      <c r="L33" s="30"/>
      <c r="M33" s="30"/>
      <c r="N33" s="30"/>
      <c r="O33" s="30"/>
    </row>
    <row r="34" spans="1:15" ht="15.6" x14ac:dyDescent="0.3">
      <c r="A34" s="11" t="s">
        <v>39</v>
      </c>
      <c r="B34" s="55">
        <v>1</v>
      </c>
      <c r="C34" s="56">
        <v>700</v>
      </c>
      <c r="D34" s="28"/>
      <c r="E34" s="28"/>
      <c r="F34" s="28"/>
      <c r="G34" s="28"/>
      <c r="H34" s="30"/>
      <c r="I34" s="30"/>
      <c r="J34" s="30"/>
      <c r="K34" s="30"/>
      <c r="L34" s="30"/>
      <c r="M34" s="30"/>
      <c r="N34" s="30"/>
      <c r="O34" s="30"/>
    </row>
    <row r="35" spans="1:15" ht="15.6" x14ac:dyDescent="0.3">
      <c r="A35" s="11" t="s">
        <v>41</v>
      </c>
      <c r="B35" s="55">
        <v>2</v>
      </c>
      <c r="C35" s="56">
        <v>2300</v>
      </c>
      <c r="D35" s="28"/>
      <c r="E35" s="28"/>
      <c r="F35" s="28"/>
      <c r="G35" s="28"/>
      <c r="H35" s="30"/>
      <c r="I35" s="30"/>
      <c r="J35" s="30"/>
      <c r="K35" s="30"/>
      <c r="L35" s="30"/>
      <c r="M35" s="30"/>
      <c r="N35" s="30"/>
      <c r="O35" s="30"/>
    </row>
    <row r="36" spans="1:15" ht="15.6" x14ac:dyDescent="0.3">
      <c r="A36" s="11" t="s">
        <v>40</v>
      </c>
      <c r="B36" s="55">
        <v>27</v>
      </c>
      <c r="C36" s="56">
        <v>16815</v>
      </c>
      <c r="D36" s="28"/>
      <c r="E36" s="28"/>
      <c r="F36" s="28"/>
      <c r="G36" s="28"/>
      <c r="H36" s="30"/>
      <c r="I36" s="30"/>
      <c r="J36" s="30"/>
      <c r="K36" s="30"/>
      <c r="L36" s="30"/>
      <c r="M36" s="30"/>
      <c r="N36" s="30"/>
      <c r="O36" s="30"/>
    </row>
    <row r="37" spans="1:15" ht="15.6" x14ac:dyDescent="0.3">
      <c r="A37" s="11" t="s">
        <v>26</v>
      </c>
      <c r="B37" s="55">
        <v>10</v>
      </c>
      <c r="C37" s="56">
        <v>2039.8</v>
      </c>
      <c r="D37" s="28"/>
      <c r="E37" s="28"/>
      <c r="F37" s="28"/>
      <c r="G37" s="28"/>
      <c r="H37" s="30"/>
      <c r="I37" s="30"/>
      <c r="J37" s="30"/>
      <c r="K37" s="30"/>
      <c r="L37" s="30"/>
      <c r="M37" s="30"/>
      <c r="N37" s="30"/>
      <c r="O37" s="30"/>
    </row>
    <row r="38" spans="1:15" s="1" customFormat="1" ht="15" customHeight="1" x14ac:dyDescent="0.3">
      <c r="A38" s="13" t="s">
        <v>4</v>
      </c>
      <c r="B38" s="14">
        <f>SUM(B19:B37)</f>
        <v>76</v>
      </c>
      <c r="C38" s="12">
        <f>-C19-C20-C21-C22-C23-C24+C25-C26+C27+C28+C29+C30+C31+C32+C33+C34+C35-C36+C37</f>
        <v>-6682.81</v>
      </c>
      <c r="D38" s="31"/>
      <c r="E38" s="31"/>
      <c r="F38" s="31"/>
      <c r="G38" s="31"/>
      <c r="H38" s="32"/>
      <c r="I38" s="32"/>
      <c r="J38" s="32"/>
      <c r="K38" s="32"/>
      <c r="L38" s="32"/>
      <c r="M38" s="32"/>
      <c r="N38" s="32"/>
      <c r="O38" s="32"/>
    </row>
    <row r="39" spans="1:15" ht="15.6" x14ac:dyDescent="0.3">
      <c r="A39" s="25" t="s">
        <v>5</v>
      </c>
      <c r="B39" s="26"/>
      <c r="C39" s="24">
        <v>11366.75</v>
      </c>
      <c r="D39" s="28"/>
      <c r="E39" s="28"/>
      <c r="F39" s="53"/>
      <c r="G39" s="53"/>
      <c r="H39" s="30"/>
      <c r="I39" s="30"/>
      <c r="J39" s="30"/>
      <c r="K39" s="30"/>
      <c r="L39" s="30"/>
      <c r="M39" s="30"/>
      <c r="N39" s="30"/>
      <c r="O39" s="30"/>
    </row>
    <row r="40" spans="1:15" ht="15.6" x14ac:dyDescent="0.3">
      <c r="A40" s="11" t="s">
        <v>10</v>
      </c>
      <c r="B40" s="55">
        <v>1</v>
      </c>
      <c r="C40" s="56">
        <v>68267.56</v>
      </c>
      <c r="D40" s="28"/>
      <c r="E40" s="28"/>
      <c r="F40" s="28"/>
      <c r="G40" s="28"/>
      <c r="H40" s="30"/>
      <c r="I40" s="30"/>
      <c r="J40" s="30"/>
      <c r="K40" s="30"/>
      <c r="L40" s="30"/>
      <c r="M40" s="30"/>
      <c r="N40" s="30"/>
      <c r="O40" s="30"/>
    </row>
    <row r="41" spans="1:15" ht="15.6" x14ac:dyDescent="0.3">
      <c r="A41" s="11" t="s">
        <v>11</v>
      </c>
      <c r="B41" s="55"/>
      <c r="C41" s="56"/>
      <c r="D41" s="28"/>
      <c r="E41" s="28"/>
      <c r="F41" s="28"/>
      <c r="G41" s="28"/>
      <c r="H41" s="30"/>
      <c r="I41" s="30"/>
      <c r="J41" s="30"/>
      <c r="K41" s="30"/>
      <c r="L41" s="30"/>
      <c r="M41" s="30"/>
      <c r="N41" s="30"/>
      <c r="O41" s="30"/>
    </row>
    <row r="42" spans="1:15" ht="15.6" x14ac:dyDescent="0.3">
      <c r="A42" s="11" t="s">
        <v>30</v>
      </c>
      <c r="B42" s="55"/>
      <c r="C42" s="56"/>
      <c r="D42" s="28"/>
      <c r="E42" s="28"/>
      <c r="F42" s="28"/>
      <c r="G42" s="28"/>
      <c r="H42" s="30"/>
      <c r="I42" s="30"/>
      <c r="J42" s="30"/>
      <c r="K42" s="30"/>
      <c r="L42" s="30"/>
      <c r="M42" s="30"/>
      <c r="N42" s="30"/>
      <c r="O42" s="30"/>
    </row>
    <row r="43" spans="1:15" ht="15.6" x14ac:dyDescent="0.3">
      <c r="A43" s="11" t="s">
        <v>31</v>
      </c>
      <c r="B43" s="55"/>
      <c r="C43" s="56"/>
      <c r="D43" s="28"/>
      <c r="E43" s="33"/>
      <c r="F43" s="28"/>
      <c r="G43" s="28"/>
      <c r="H43" s="30"/>
      <c r="I43" s="30"/>
      <c r="J43" s="30"/>
      <c r="K43" s="30"/>
      <c r="L43" s="30"/>
      <c r="M43" s="30"/>
      <c r="N43" s="30"/>
      <c r="O43" s="30"/>
    </row>
    <row r="44" spans="1:15" ht="15.6" x14ac:dyDescent="0.3">
      <c r="A44" s="13" t="s">
        <v>7</v>
      </c>
      <c r="B44" s="14"/>
      <c r="C44" s="12">
        <f>C39+C38+C40-C41+C42-C43</f>
        <v>72951.5</v>
      </c>
      <c r="D44" s="28"/>
      <c r="E44" s="28"/>
      <c r="F44" s="28"/>
      <c r="G44" s="28"/>
      <c r="H44" s="30"/>
      <c r="I44" s="30"/>
      <c r="J44" s="30"/>
      <c r="K44" s="30"/>
      <c r="L44" s="30"/>
      <c r="M44" s="30"/>
      <c r="N44" s="30"/>
      <c r="O44" s="30"/>
    </row>
    <row r="45" spans="1:15" ht="15.6" x14ac:dyDescent="0.3">
      <c r="A45" s="15" t="s">
        <v>8</v>
      </c>
      <c r="B45" s="16">
        <f>B38</f>
        <v>76</v>
      </c>
      <c r="C45" s="27">
        <f>C16-C44</f>
        <v>0</v>
      </c>
      <c r="D45" s="28"/>
      <c r="E45" s="28"/>
      <c r="F45" s="28"/>
      <c r="G45" s="28"/>
      <c r="H45" s="30"/>
      <c r="I45" s="30"/>
      <c r="J45" s="30"/>
      <c r="K45" s="30"/>
      <c r="L45" s="30"/>
      <c r="M45" s="30"/>
      <c r="N45" s="30"/>
      <c r="O45" s="30"/>
    </row>
    <row r="46" spans="1:15" ht="15.6" x14ac:dyDescent="0.3">
      <c r="A46" s="9"/>
      <c r="B46" s="8"/>
      <c r="C46" s="8"/>
      <c r="D46" s="3"/>
      <c r="E46" s="3"/>
      <c r="F46" s="3"/>
      <c r="G46" s="3"/>
    </row>
    <row r="47" spans="1:15" ht="15.6" x14ac:dyDescent="0.3">
      <c r="A47" s="22" t="s">
        <v>15</v>
      </c>
      <c r="B47" s="22" t="s">
        <v>16</v>
      </c>
      <c r="C47" s="22" t="s">
        <v>17</v>
      </c>
      <c r="D47" s="3"/>
      <c r="E47" s="3"/>
      <c r="F47" s="3"/>
      <c r="G47" s="3"/>
    </row>
    <row r="48" spans="1:15" ht="15.6" x14ac:dyDescent="0.3">
      <c r="A48" s="54" t="s">
        <v>29</v>
      </c>
      <c r="B48" s="54" t="s">
        <v>27</v>
      </c>
      <c r="C48" s="54" t="s">
        <v>27</v>
      </c>
      <c r="D48" s="3"/>
      <c r="E48" s="3"/>
      <c r="F48" s="3"/>
      <c r="G48" s="3"/>
    </row>
    <row r="49" spans="1:7" ht="15.6" x14ac:dyDescent="0.3">
      <c r="A49" s="54"/>
      <c r="B49" s="54"/>
      <c r="C49" s="54"/>
      <c r="D49" s="3"/>
      <c r="E49" s="3"/>
      <c r="F49" s="3"/>
      <c r="G49" s="3"/>
    </row>
    <row r="50" spans="1:7" ht="15.6" x14ac:dyDescent="0.3">
      <c r="A50" s="54"/>
      <c r="B50" s="54"/>
      <c r="C50" s="54"/>
      <c r="D50" s="3"/>
      <c r="E50" s="3"/>
      <c r="F50" s="3"/>
      <c r="G50" s="3"/>
    </row>
    <row r="55" spans="1:7" x14ac:dyDescent="0.3">
      <c r="C55" s="30"/>
    </row>
  </sheetData>
  <mergeCells count="7">
    <mergeCell ref="A1:B2"/>
    <mergeCell ref="C1:C2"/>
    <mergeCell ref="A16:B16"/>
    <mergeCell ref="F39:G39"/>
    <mergeCell ref="A48:A50"/>
    <mergeCell ref="B48:B50"/>
    <mergeCell ref="C48:C50"/>
  </mergeCells>
  <conditionalFormatting sqref="C45">
    <cfRule type="cellIs" dxfId="2" priority="2" operator="lessThan">
      <formula>-25</formula>
    </cfRule>
    <cfRule type="cellIs" dxfId="1" priority="3" operator="greaterThan">
      <formula>25</formula>
    </cfRule>
  </conditionalFormatting>
  <conditionalFormatting sqref="H8">
    <cfRule type="cellIs" dxfId="0" priority="1" operator="lessThan">
      <formula>-25</formula>
    </cfRule>
  </conditionalFormatting>
  <printOptions horizontalCentered="1" verticalCentered="1"/>
  <pageMargins left="0.75" right="0.59055118110236227" top="0.23622047244094491" bottom="0.23622047244094491" header="0" footer="0"/>
  <pageSetup paperSize="9" scale="95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pv-caisse cc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2025-10-30T17:38:08Z</dcterms:modified>
</cp:coreProperties>
</file>